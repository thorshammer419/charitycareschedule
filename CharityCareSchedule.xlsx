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seypeterson.sharepoint.com/sites/LeakyBucket/GeneralProjects/CaseyPeterson_CharityCareProject/"/>
    </mc:Choice>
  </mc:AlternateContent>
  <xr:revisionPtr revIDLastSave="0" documentId="8_{E4E64EE0-B57D-4113-A411-6EF884778365}" xr6:coauthVersionLast="47" xr6:coauthVersionMax="47" xr10:uidLastSave="{00000000-0000-0000-0000-000000000000}"/>
  <bookViews>
    <workbookView xWindow="-120" yWindow="-120" windowWidth="29040" windowHeight="15840" xr2:uid="{0A343DE3-A98F-4DD9-9A12-33EE3BD06EDA}"/>
  </bookViews>
  <sheets>
    <sheet name="Poverty Guidelines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E9" i="1"/>
  <c r="F9" i="1"/>
  <c r="G9" i="1"/>
  <c r="H9" i="1"/>
  <c r="A10" i="1"/>
  <c r="C10" i="1"/>
  <c r="D10" i="1"/>
  <c r="E10" i="1"/>
  <c r="F10" i="1"/>
  <c r="G10" i="1"/>
  <c r="H10" i="1"/>
  <c r="A11" i="1"/>
  <c r="A12" i="1" s="1"/>
  <c r="A13" i="1" s="1"/>
  <c r="A14" i="1" s="1"/>
  <c r="A15" i="1" s="1"/>
  <c r="A16" i="1" s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</calcChain>
</file>

<file path=xl/sharedStrings.xml><?xml version="1.0" encoding="utf-8"?>
<sst xmlns="http://schemas.openxmlformats.org/spreadsheetml/2006/main" count="11" uniqueCount="11">
  <si>
    <t>Household/
Family Size</t>
  </si>
  <si>
    <t>Poverty Level</t>
  </si>
  <si>
    <t xml:space="preserve">If Annual Income is &gt; 260% </t>
  </si>
  <si>
    <t>If Annual Income is &gt; 240% of Poverty Level But &lt; Or = To</t>
  </si>
  <si>
    <t>If Annual Income is &gt; 220% of Poverty Level But &lt; Or = To</t>
  </si>
  <si>
    <t>If Annual Income is &gt; 200% of Poverty Level But &lt; Or = To</t>
  </si>
  <si>
    <t>If Annual Income is &lt; Or = To</t>
  </si>
  <si>
    <t>Discount Available</t>
  </si>
  <si>
    <t>2023 Poverty Guidelines: 48 Contiguous States (all states except Alaska and Hawaii)</t>
  </si>
  <si>
    <t>2023 Equitable Fee Schedule</t>
  </si>
  <si>
    <t>Attachment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</si>
</sst>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43" fontId="0" fillId="0" borderId="0" xfId="1" applyFont="1"/>
    <xf numFmtId="164" fontId="0" fillId="0" borderId="0" xfId="0" applyNumberFormat="1"/>
    <xf numFmtId="164" fontId="3" fillId="0" borderId="0" xfId="2" applyNumberFormat="1" applyFont="1" applyFill="1" applyBorder="1"/>
    <xf numFmtId="0" fontId="0" fillId="0" borderId="0" xfId="0" applyAlignment="1">
      <alignment horizontal="center"/>
    </xf>
    <xf numFmtId="164" fontId="3" fillId="0" borderId="0" xfId="2" applyNumberFormat="1" applyFont="1" applyFill="1"/>
    <xf numFmtId="164" fontId="3" fillId="0" borderId="0" xfId="1" applyNumberFormat="1" applyFont="1" applyFill="1" applyAlignment="1"/>
    <xf numFmtId="9" fontId="2" fillId="0" borderId="0" xfId="3" applyFont="1" applyBorder="1"/>
    <xf numFmtId="0" fontId="0" fillId="0" borderId="0" xfId="0" applyAlignment="1">
      <alignment horizontal="center" wrapText="1"/>
    </xf>
    <xf numFmtId="9" fontId="2" fillId="2" borderId="1" xfId="3" applyFont="1" applyFill="1" applyBorder="1"/>
    <xf numFmtId="0" fontId="2" fillId="2" borderId="1" xfId="0" applyFont="1" applyFill="1" applyBorder="1"/>
    <xf numFmtId="9" fontId="2" fillId="0" borderId="1" xfId="3" applyFont="1" applyFill="1" applyBorder="1" applyAlignment="1">
      <alignment horizontal="center" wrapText="1"/>
    </xf>
    <xf numFmtId="0" fontId="0" fillId="0" borderId="1" xfId="0" applyBorder="1"/>
    <xf numFmtId="9" fontId="0" fillId="3" borderId="0" xfId="3" applyFont="1" applyFill="1"/>
    <xf numFmtId="0" fontId="0" fillId="3" borderId="0" xfId="0" applyFill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E478-69BE-4C91-BB51-60B74266BA79}">
  <dimension ref="A1:Q28"/>
  <sheetViews>
    <sheetView tabSelected="1" workbookViewId="0">
      <selection activeCell="H30" sqref="H30"/>
    </sheetView>
  </sheetViews>
  <sheetFormatPr defaultColWidth="8.85546875" defaultRowHeight="15" x14ac:dyDescent="0.25"/>
  <cols>
    <col min="1" max="1" width="17.28515625" bestFit="1" customWidth="1"/>
    <col min="2" max="8" width="15.7109375" customWidth="1"/>
    <col min="11" max="16" width="9.28515625" bestFit="1" customWidth="1"/>
  </cols>
  <sheetData>
    <row r="1" spans="1:17" x14ac:dyDescent="0.25">
      <c r="A1" s="16" t="s">
        <v>10</v>
      </c>
      <c r="B1" s="15"/>
      <c r="C1" s="15"/>
      <c r="D1" s="15"/>
      <c r="E1" s="15"/>
      <c r="F1" s="15"/>
      <c r="G1" s="15"/>
      <c r="H1" s="15"/>
    </row>
    <row r="2" spans="1:17" x14ac:dyDescent="0.25">
      <c r="A2" s="16" t="s">
        <v>9</v>
      </c>
      <c r="B2" s="15"/>
      <c r="C2" s="15"/>
      <c r="D2" s="15"/>
      <c r="E2" s="15"/>
      <c r="F2" s="15"/>
      <c r="G2" s="15"/>
      <c r="H2" s="15"/>
    </row>
    <row r="3" spans="1:17" ht="14.45" customHeight="1" x14ac:dyDescent="0.25">
      <c r="A3" s="16" t="s">
        <v>8</v>
      </c>
      <c r="B3" s="15"/>
      <c r="C3" s="15"/>
      <c r="D3" s="15"/>
      <c r="E3" s="15"/>
      <c r="F3" s="15"/>
      <c r="G3" s="15"/>
      <c r="H3" s="15"/>
    </row>
    <row r="5" spans="1:17" x14ac:dyDescent="0.25">
      <c r="A5" s="14" t="s">
        <v>7</v>
      </c>
      <c r="B5" s="13">
        <v>1</v>
      </c>
      <c r="C5" s="13">
        <v>1</v>
      </c>
      <c r="D5" s="13">
        <v>0.75</v>
      </c>
      <c r="E5" s="13">
        <v>0.5</v>
      </c>
      <c r="F5" s="13">
        <v>0.25</v>
      </c>
      <c r="G5" s="13">
        <v>0</v>
      </c>
      <c r="H5" s="13">
        <v>0</v>
      </c>
    </row>
    <row r="6" spans="1:17" ht="59.45" customHeight="1" x14ac:dyDescent="0.25">
      <c r="A6" s="12"/>
      <c r="B6" s="12"/>
      <c r="C6" s="11" t="s">
        <v>6</v>
      </c>
      <c r="D6" s="11" t="s">
        <v>5</v>
      </c>
      <c r="E6" s="11" t="s">
        <v>4</v>
      </c>
      <c r="F6" s="11" t="s">
        <v>3</v>
      </c>
      <c r="G6" s="11" t="s">
        <v>2</v>
      </c>
      <c r="H6" s="11"/>
    </row>
    <row r="7" spans="1:17" x14ac:dyDescent="0.25">
      <c r="A7" s="10" t="s">
        <v>1</v>
      </c>
      <c r="B7" s="9">
        <v>1</v>
      </c>
      <c r="C7" s="9">
        <v>2</v>
      </c>
      <c r="D7" s="9">
        <v>2.2000000000000002</v>
      </c>
      <c r="E7" s="9">
        <v>2.4</v>
      </c>
      <c r="F7" s="9">
        <v>2.6</v>
      </c>
      <c r="G7" s="9">
        <v>2.8</v>
      </c>
      <c r="H7" s="9">
        <v>3</v>
      </c>
    </row>
    <row r="8" spans="1:17" ht="30" x14ac:dyDescent="0.25">
      <c r="A8" s="8" t="s">
        <v>0</v>
      </c>
      <c r="B8" s="7"/>
      <c r="C8" s="7"/>
      <c r="D8" s="7"/>
    </row>
    <row r="9" spans="1:17" x14ac:dyDescent="0.25">
      <c r="A9" s="4">
        <v>1</v>
      </c>
      <c r="B9" s="6">
        <v>14580.000000000009</v>
      </c>
      <c r="C9" s="2">
        <f>B9*$C$7</f>
        <v>29160.000000000018</v>
      </c>
      <c r="D9" s="2">
        <f>$B9*D$7</f>
        <v>32076.000000000022</v>
      </c>
      <c r="E9" s="2">
        <f>$B9*E$7</f>
        <v>34992.000000000022</v>
      </c>
      <c r="F9" s="2">
        <f>$B9*F$7</f>
        <v>37908.000000000022</v>
      </c>
      <c r="G9" s="2">
        <f>$B9*G$7</f>
        <v>40824.000000000022</v>
      </c>
      <c r="H9" s="2">
        <f>$B9*H$7</f>
        <v>43740.000000000029</v>
      </c>
      <c r="J9" s="2"/>
      <c r="K9" s="2"/>
      <c r="L9" s="2"/>
      <c r="M9" s="2"/>
      <c r="N9" s="2"/>
      <c r="O9" s="2"/>
      <c r="P9" s="2"/>
      <c r="Q9" s="2"/>
    </row>
    <row r="10" spans="1:17" x14ac:dyDescent="0.25">
      <c r="A10" s="4">
        <f>A9+1</f>
        <v>2</v>
      </c>
      <c r="B10" s="6">
        <v>19720.000000000015</v>
      </c>
      <c r="C10" s="2">
        <f>B10*$C$7</f>
        <v>39440.000000000029</v>
      </c>
      <c r="D10" s="2">
        <f>$B10*D$7</f>
        <v>43384.000000000036</v>
      </c>
      <c r="E10" s="2">
        <f>$B10*E$7</f>
        <v>47328.000000000036</v>
      </c>
      <c r="F10" s="2">
        <f>$B10*F$7</f>
        <v>51272.000000000036</v>
      </c>
      <c r="G10" s="2">
        <f>$B10*G$7</f>
        <v>55216.000000000036</v>
      </c>
      <c r="H10" s="2">
        <f>$B10*H$7</f>
        <v>59160.000000000044</v>
      </c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4">
        <f>A10+1</f>
        <v>3</v>
      </c>
      <c r="B11" s="6">
        <v>24860.000000000018</v>
      </c>
      <c r="C11" s="2">
        <f>B11*$C$7</f>
        <v>49720.000000000036</v>
      </c>
      <c r="D11" s="2">
        <f>$B11*D$7</f>
        <v>54692.000000000044</v>
      </c>
      <c r="E11" s="2">
        <f>$B11*E$7</f>
        <v>59664.000000000044</v>
      </c>
      <c r="F11" s="2">
        <f>$B11*F$7</f>
        <v>64636.000000000051</v>
      </c>
      <c r="G11" s="2">
        <f>$B11*G$7</f>
        <v>69608.000000000044</v>
      </c>
      <c r="H11" s="2">
        <f>$B11*H$7</f>
        <v>74580.000000000058</v>
      </c>
      <c r="J11" s="2"/>
      <c r="K11" s="2"/>
      <c r="L11" s="2"/>
      <c r="M11" s="2"/>
      <c r="N11" s="2"/>
      <c r="O11" s="2"/>
      <c r="P11" s="2"/>
      <c r="Q11" s="2"/>
    </row>
    <row r="12" spans="1:17" x14ac:dyDescent="0.25">
      <c r="A12" s="4">
        <f>A11+1</f>
        <v>4</v>
      </c>
      <c r="B12" s="6">
        <v>30000.000000000018</v>
      </c>
      <c r="C12" s="2">
        <f>B12*$C$7</f>
        <v>60000.000000000036</v>
      </c>
      <c r="D12" s="2">
        <f>$B12*D$7</f>
        <v>66000.000000000044</v>
      </c>
      <c r="E12" s="2">
        <f>$B12*E$7</f>
        <v>72000.000000000044</v>
      </c>
      <c r="F12" s="2">
        <f>$B12*F$7</f>
        <v>78000.000000000044</v>
      </c>
      <c r="G12" s="2">
        <f>$B12*G$7</f>
        <v>84000.000000000044</v>
      </c>
      <c r="H12" s="2">
        <f>$B12*H$7</f>
        <v>90000.000000000058</v>
      </c>
      <c r="J12" s="2"/>
      <c r="K12" s="2"/>
      <c r="L12" s="2"/>
      <c r="M12" s="2"/>
      <c r="N12" s="2"/>
      <c r="O12" s="2"/>
      <c r="P12" s="2"/>
      <c r="Q12" s="2"/>
    </row>
    <row r="13" spans="1:17" x14ac:dyDescent="0.25">
      <c r="A13" s="4">
        <f>A12+1</f>
        <v>5</v>
      </c>
      <c r="B13" s="6">
        <v>35140.000000000022</v>
      </c>
      <c r="C13" s="2">
        <f>B13*$C$7</f>
        <v>70280.000000000044</v>
      </c>
      <c r="D13" s="2">
        <f>$B13*D$7</f>
        <v>77308.000000000058</v>
      </c>
      <c r="E13" s="2">
        <f>$B13*E$7</f>
        <v>84336.000000000044</v>
      </c>
      <c r="F13" s="2">
        <f>$B13*F$7</f>
        <v>91364.000000000058</v>
      </c>
      <c r="G13" s="2">
        <f>$B13*G$7</f>
        <v>98392.000000000058</v>
      </c>
      <c r="H13" s="2">
        <f>$B13*H$7</f>
        <v>105420.00000000006</v>
      </c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 s="4">
        <f>A13+1</f>
        <v>6</v>
      </c>
      <c r="B14" s="6">
        <v>40280.000000000029</v>
      </c>
      <c r="C14" s="2">
        <f>B14*$C$7</f>
        <v>80560.000000000058</v>
      </c>
      <c r="D14" s="2">
        <f>$B14*D$7</f>
        <v>88616.000000000073</v>
      </c>
      <c r="E14" s="2">
        <f>$B14*E$7</f>
        <v>96672.000000000073</v>
      </c>
      <c r="F14" s="2">
        <f>$B14*F$7</f>
        <v>104728.00000000007</v>
      </c>
      <c r="G14" s="2">
        <f>$B14*G$7</f>
        <v>112784.00000000007</v>
      </c>
      <c r="H14" s="2">
        <f>$B14*H$7</f>
        <v>120840.00000000009</v>
      </c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4">
        <f>A14+1</f>
        <v>7</v>
      </c>
      <c r="B15" s="6">
        <v>45420.000000000029</v>
      </c>
      <c r="C15" s="2">
        <f>B15*$C$7</f>
        <v>90840.000000000058</v>
      </c>
      <c r="D15" s="2">
        <f>$B15*D$7</f>
        <v>99924.000000000073</v>
      </c>
      <c r="E15" s="2">
        <f>$B15*E$7</f>
        <v>109008.00000000007</v>
      </c>
      <c r="F15" s="2">
        <f>$B15*F$7</f>
        <v>118092.00000000007</v>
      </c>
      <c r="G15" s="2">
        <f>$B15*G$7</f>
        <v>127176.00000000007</v>
      </c>
      <c r="H15" s="2">
        <f>$B15*H$7</f>
        <v>136260.00000000009</v>
      </c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4">
        <f>A15+1</f>
        <v>8</v>
      </c>
      <c r="B16" s="6">
        <v>50560.000000000036</v>
      </c>
      <c r="C16" s="2">
        <f>B16*$C$7</f>
        <v>101120.00000000007</v>
      </c>
      <c r="D16" s="2">
        <f>$B16*D$7</f>
        <v>111232.00000000009</v>
      </c>
      <c r="E16" s="2">
        <f>$B16*E$7</f>
        <v>121344.00000000009</v>
      </c>
      <c r="F16" s="2">
        <f>$B16*F$7</f>
        <v>131456.00000000009</v>
      </c>
      <c r="G16" s="2">
        <f>$B16*G$7</f>
        <v>141568.00000000009</v>
      </c>
      <c r="H16" s="2">
        <f>$B16*H$7</f>
        <v>151680.00000000012</v>
      </c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4">
        <v>9</v>
      </c>
      <c r="B17" s="5">
        <v>55700.000000000044</v>
      </c>
      <c r="C17" s="2">
        <f>B17*$C$7</f>
        <v>111400.00000000009</v>
      </c>
      <c r="D17" s="2">
        <f>$B17*D$7</f>
        <v>122540.0000000001</v>
      </c>
      <c r="E17" s="2">
        <f>$B17*E$7</f>
        <v>133680.00000000009</v>
      </c>
      <c r="F17" s="2">
        <f>$B17*F$7</f>
        <v>144820.00000000012</v>
      </c>
      <c r="G17" s="2">
        <f>$B17*G$7</f>
        <v>155960.00000000012</v>
      </c>
      <c r="H17" s="2">
        <f>$B17*H$7</f>
        <v>167100.00000000012</v>
      </c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4">
        <v>10</v>
      </c>
      <c r="B18" s="5">
        <v>60840.000000000044</v>
      </c>
      <c r="C18" s="2">
        <f>B18*$C$7</f>
        <v>121680.00000000009</v>
      </c>
      <c r="D18" s="2">
        <f>$B18*D$7</f>
        <v>133848.00000000012</v>
      </c>
      <c r="E18" s="2">
        <f>$B18*E$7</f>
        <v>146016.00000000009</v>
      </c>
      <c r="F18" s="2">
        <f>$B18*F$7</f>
        <v>158184.00000000012</v>
      </c>
      <c r="G18" s="2">
        <f>$B18*G$7</f>
        <v>170352.00000000012</v>
      </c>
      <c r="H18" s="2">
        <f>$B18*H$7</f>
        <v>182520.00000000012</v>
      </c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4">
        <v>11</v>
      </c>
      <c r="B19" s="5">
        <v>65980.000000000044</v>
      </c>
      <c r="C19" s="2">
        <f>B19*$C$7</f>
        <v>131960.00000000009</v>
      </c>
      <c r="D19" s="2">
        <f>$B19*D$7</f>
        <v>145156.00000000012</v>
      </c>
      <c r="E19" s="2">
        <f>$B19*E$7</f>
        <v>158352.00000000009</v>
      </c>
      <c r="F19" s="2">
        <f>$B19*F$7</f>
        <v>171548.00000000012</v>
      </c>
      <c r="G19" s="2">
        <f>$B19*G$7</f>
        <v>184744.00000000012</v>
      </c>
      <c r="H19" s="2">
        <f>$B19*H$7</f>
        <v>197940.00000000012</v>
      </c>
      <c r="J19" s="2"/>
      <c r="K19" s="2"/>
      <c r="L19" s="2"/>
      <c r="M19" s="2"/>
      <c r="N19" s="2"/>
      <c r="O19" s="2"/>
      <c r="P19" s="2"/>
      <c r="Q19" s="2"/>
    </row>
    <row r="20" spans="1:17" x14ac:dyDescent="0.25">
      <c r="A20" s="4">
        <v>12</v>
      </c>
      <c r="B20" s="5">
        <v>71120.000000000044</v>
      </c>
      <c r="C20" s="2">
        <f>B20*$C$7</f>
        <v>142240.00000000009</v>
      </c>
      <c r="D20" s="2">
        <f>$B20*D$7</f>
        <v>156464.00000000012</v>
      </c>
      <c r="E20" s="2">
        <f>$B20*E$7</f>
        <v>170688.00000000009</v>
      </c>
      <c r="F20" s="2">
        <f>$B20*F$7</f>
        <v>184912.00000000012</v>
      </c>
      <c r="G20" s="2">
        <f>$B20*G$7</f>
        <v>199136.00000000012</v>
      </c>
      <c r="H20" s="2">
        <f>$B20*H$7</f>
        <v>213360.00000000012</v>
      </c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4">
        <v>13</v>
      </c>
      <c r="B21" s="5">
        <v>76260.000000000044</v>
      </c>
      <c r="C21" s="2">
        <f>B21*$C$7</f>
        <v>152520.00000000009</v>
      </c>
      <c r="D21" s="2">
        <f>$B21*D$7</f>
        <v>167772.00000000012</v>
      </c>
      <c r="E21" s="2">
        <f>$B21*E$7</f>
        <v>183024.00000000009</v>
      </c>
      <c r="F21" s="2">
        <f>$B21*F$7</f>
        <v>198276.00000000012</v>
      </c>
      <c r="G21" s="2">
        <f>$B21*G$7</f>
        <v>213528.00000000012</v>
      </c>
      <c r="H21" s="2">
        <f>$B21*H$7</f>
        <v>228780.00000000012</v>
      </c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4">
        <v>14</v>
      </c>
      <c r="B22" s="3">
        <v>81400.000000000044</v>
      </c>
      <c r="C22" s="2">
        <f>B22*$C$7</f>
        <v>162800.00000000009</v>
      </c>
      <c r="D22" s="2">
        <f>$B22*D$7</f>
        <v>179080.00000000012</v>
      </c>
      <c r="E22" s="2">
        <f>$B22*E$7</f>
        <v>195360.00000000009</v>
      </c>
      <c r="F22" s="2">
        <f>$B22*F$7</f>
        <v>211640.00000000012</v>
      </c>
      <c r="G22" s="2">
        <f>$B22*G$7</f>
        <v>227920.00000000012</v>
      </c>
      <c r="H22" s="2">
        <f>$B22*H$7</f>
        <v>244200.00000000012</v>
      </c>
      <c r="J22" s="2"/>
      <c r="K22" s="2"/>
      <c r="L22" s="2"/>
      <c r="M22" s="2"/>
      <c r="N22" s="2"/>
      <c r="O22" s="2"/>
      <c r="P22" s="2"/>
      <c r="Q22" s="2"/>
    </row>
    <row r="26" spans="1:17" x14ac:dyDescent="0.25">
      <c r="D26" s="1"/>
    </row>
    <row r="27" spans="1:17" x14ac:dyDescent="0.25">
      <c r="D27" s="1"/>
    </row>
    <row r="28" spans="1:17" x14ac:dyDescent="0.25">
      <c r="D28" s="1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Poverty Guidelines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Erickson</dc:creator>
  <cp:lastModifiedBy>Mark Erickson</cp:lastModifiedBy>
  <dcterms:created xsi:type="dcterms:W3CDTF">2023-04-20T14:17:40Z</dcterms:created>
  <dcterms:modified xsi:type="dcterms:W3CDTF">2023-04-20T14:18:50Z</dcterms:modified>
</cp:coreProperties>
</file>